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HP\OneDrive\Documents\"/>
    </mc:Choice>
  </mc:AlternateContent>
  <xr:revisionPtr revIDLastSave="0" documentId="8_{F9797EE6-0293-4838-B424-1B9DFE76235F}" xr6:coauthVersionLast="47" xr6:coauthVersionMax="47" xr10:uidLastSave="{00000000-0000-0000-0000-000000000000}"/>
  <bookViews>
    <workbookView xWindow="-96" yWindow="-96" windowWidth="23232" windowHeight="13152" xr2:uid="{00000000-000D-0000-FFFF-FFFF00000000}"/>
  </bookViews>
  <sheets>
    <sheet name="Лист1" sheetId="1" r:id="rId1"/>
  </sheets>
  <definedNames>
    <definedName name="_xlnm._FilterDatabase" localSheetId="0" hidden="1">Лист1!$P$12:$T$21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4" i="1" l="1"/>
  <c r="G14" i="1" s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38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39" i="1"/>
  <c r="N30" i="1"/>
  <c r="M30" i="1"/>
  <c r="N29" i="1"/>
  <c r="M29" i="1"/>
  <c r="N28" i="1"/>
  <c r="M28" i="1"/>
  <c r="F15" i="1"/>
  <c r="G15" i="1" s="1"/>
  <c r="F16" i="1"/>
  <c r="G16" i="1" s="1"/>
  <c r="F17" i="1"/>
  <c r="G17" i="1" s="1"/>
  <c r="F18" i="1"/>
  <c r="G18" i="1" s="1"/>
  <c r="F19" i="1"/>
  <c r="G19" i="1" s="1"/>
  <c r="N7" i="1"/>
  <c r="O4" i="1" s="1"/>
  <c r="M7" i="1"/>
  <c r="L7" i="1"/>
  <c r="K7" i="1"/>
  <c r="F4" i="1"/>
  <c r="F5" i="1"/>
  <c r="F6" i="1"/>
  <c r="F3" i="1"/>
  <c r="G20" i="1" l="1"/>
  <c r="O3" i="1"/>
  <c r="O5" i="1"/>
  <c r="F8" i="1"/>
  <c r="O7" i="1"/>
  <c r="O8" i="1"/>
  <c r="O6" i="1"/>
</calcChain>
</file>

<file path=xl/sharedStrings.xml><?xml version="1.0" encoding="utf-8"?>
<sst xmlns="http://schemas.openxmlformats.org/spreadsheetml/2006/main" count="128" uniqueCount="92">
  <si>
    <t>№</t>
  </si>
  <si>
    <t>Наименование</t>
  </si>
  <si>
    <t>Кол-во</t>
  </si>
  <si>
    <t>Цена</t>
  </si>
  <si>
    <t>Сумма</t>
  </si>
  <si>
    <t>Палатка</t>
  </si>
  <si>
    <t>Спальный мешок</t>
  </si>
  <si>
    <t>Рюкзак</t>
  </si>
  <si>
    <t>Консервы</t>
  </si>
  <si>
    <t>ВСЕГО:</t>
  </si>
  <si>
    <t>Практическая работа 4</t>
  </si>
  <si>
    <t>Распределение сотрудников по образованию</t>
  </si>
  <si>
    <t>Магнолия</t>
  </si>
  <si>
    <t>Лилия</t>
  </si>
  <si>
    <t>Фиалка</t>
  </si>
  <si>
    <t>Всего</t>
  </si>
  <si>
    <t>%</t>
  </si>
  <si>
    <t>Высшее</t>
  </si>
  <si>
    <t>Среднее профессиональное</t>
  </si>
  <si>
    <t>Начальное профессиональное</t>
  </si>
  <si>
    <t>Другое</t>
  </si>
  <si>
    <t>Без высшего</t>
  </si>
  <si>
    <t>Расчет месячной заработной платы</t>
  </si>
  <si>
    <t>Ф.И.О.</t>
  </si>
  <si>
    <t>Должность</t>
  </si>
  <si>
    <t>Базовая зарплата (руб)</t>
  </si>
  <si>
    <t>Премия (руб)</t>
  </si>
  <si>
    <t>Налог (руб)</t>
  </si>
  <si>
    <t>К выдаче</t>
  </si>
  <si>
    <t>Сидоров А.Б.</t>
  </si>
  <si>
    <t>директор</t>
  </si>
  <si>
    <t>Федорова В.Е.</t>
  </si>
  <si>
    <t>бухгалтер</t>
  </si>
  <si>
    <t>Козлов К.Т.</t>
  </si>
  <si>
    <t>юрист</t>
  </si>
  <si>
    <t>Степанова О.А</t>
  </si>
  <si>
    <t>секретарь</t>
  </si>
  <si>
    <t>Андреев С.П.</t>
  </si>
  <si>
    <t>менеджер</t>
  </si>
  <si>
    <t>Алексеев В.А.</t>
  </si>
  <si>
    <t>Доля начислений на заработную плату (налог) 0,13</t>
  </si>
  <si>
    <t>Итого:</t>
  </si>
  <si>
    <t>Крупнейшие реки мира</t>
  </si>
  <si>
    <t>Название</t>
  </si>
  <si>
    <t>Географическое положение</t>
  </si>
  <si>
    <t>Длина, км</t>
  </si>
  <si>
    <r>
      <t>Площадь бассейна, KM</t>
    </r>
    <r>
      <rPr>
        <vertAlign val="superscript"/>
        <sz val="11"/>
        <color theme="1"/>
        <rFont val="Calibri"/>
        <family val="2"/>
        <charset val="204"/>
        <scheme val="minor"/>
      </rPr>
      <t>2</t>
    </r>
  </si>
  <si>
    <t>Нил</t>
  </si>
  <si>
    <t>Африка</t>
  </si>
  <si>
    <t>Амазонка (с Мараньон)</t>
  </si>
  <si>
    <t>Южн. Америка</t>
  </si>
  <si>
    <t>Амазонка (с Укаяли)</t>
  </si>
  <si>
    <t>Миссисипи</t>
  </si>
  <si>
    <t>Азия</t>
  </si>
  <si>
    <t>Янцзы</t>
  </si>
  <si>
    <t>Объ</t>
  </si>
  <si>
    <t>Ла Плата</t>
  </si>
  <si>
    <t>Хуанхэ</t>
  </si>
  <si>
    <t>Меконг</t>
  </si>
  <si>
    <t>Амур</t>
  </si>
  <si>
    <t>Лена</t>
  </si>
  <si>
    <t>Наименьшее значение</t>
  </si>
  <si>
    <t>Наибольшее значение</t>
  </si>
  <si>
    <t>Среднее значение</t>
  </si>
  <si>
    <t>Курс Ѕ</t>
  </si>
  <si>
    <t>Страна</t>
  </si>
  <si>
    <t>Цена в долларах</t>
  </si>
  <si>
    <t>Цена в рублях</t>
  </si>
  <si>
    <t>Англия</t>
  </si>
  <si>
    <t>Бельгия</t>
  </si>
  <si>
    <t>Болгария</t>
  </si>
  <si>
    <t>Бразилия</t>
  </si>
  <si>
    <t>Германия</t>
  </si>
  <si>
    <t>Греция</t>
  </si>
  <si>
    <t>Египет</t>
  </si>
  <si>
    <t>Израиль</t>
  </si>
  <si>
    <t>Кипр</t>
  </si>
  <si>
    <t>Китай</t>
  </si>
  <si>
    <t>Мальта</t>
  </si>
  <si>
    <t>ОАЭ</t>
  </si>
  <si>
    <t>Таиланд</t>
  </si>
  <si>
    <t>Тунис</t>
  </si>
  <si>
    <t>Турция</t>
  </si>
  <si>
    <t>Чехия</t>
  </si>
  <si>
    <t>Курс  $ в Тенге 2024</t>
  </si>
  <si>
    <t>Страна отдыха</t>
  </si>
  <si>
    <t>Всего туристов</t>
  </si>
  <si>
    <t>Туристов из России</t>
  </si>
  <si>
    <t>% россиян от общего числа туристов</t>
  </si>
  <si>
    <t>Финляндия</t>
  </si>
  <si>
    <t>Тайланд</t>
  </si>
  <si>
    <t>Швейцария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</si>
</sst>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vertAlign val="superscript"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1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/>
    <xf numFmtId="0" fontId="0" fillId="0" borderId="8" xfId="0" applyBorder="1"/>
    <xf numFmtId="0" fontId="0" fillId="0" borderId="6" xfId="0" applyBorder="1"/>
    <xf numFmtId="0" fontId="0" fillId="0" borderId="9" xfId="0" applyBorder="1" applyAlignment="1">
      <alignment horizontal="center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1" xfId="0" applyBorder="1"/>
    <xf numFmtId="0" fontId="0" fillId="0" borderId="5" xfId="0" applyBorder="1"/>
    <xf numFmtId="0" fontId="0" fillId="0" borderId="6" xfId="0" applyBorder="1" applyAlignment="1">
      <alignment horizontal="center"/>
    </xf>
    <xf numFmtId="0" fontId="0" fillId="0" borderId="12" xfId="0" applyBorder="1"/>
    <xf numFmtId="0" fontId="0" fillId="0" borderId="14" xfId="0" applyBorder="1"/>
    <xf numFmtId="0" fontId="0" fillId="0" borderId="15" xfId="0" applyBorder="1"/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9" xfId="0" applyBorder="1" applyAlignment="1">
      <alignment horizontal="center"/>
    </xf>
    <xf numFmtId="9" fontId="0" fillId="0" borderId="20" xfId="1" applyFont="1" applyBorder="1" applyAlignment="1">
      <alignment horizontal="right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9" xfId="0" applyBorder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26" xfId="0" applyBorder="1" applyAlignment="1">
      <alignment horizontal="center" vertical="center" wrapText="1"/>
    </xf>
    <xf numFmtId="0" fontId="0" fillId="0" borderId="26" xfId="0" applyBorder="1" applyAlignment="1">
      <alignment horizontal="right"/>
    </xf>
    <xf numFmtId="0" fontId="0" fillId="0" borderId="26" xfId="0" applyBorder="1" applyAlignment="1">
      <alignment horizontal="center"/>
    </xf>
    <xf numFmtId="0" fontId="0" fillId="0" borderId="26" xfId="0" applyBorder="1"/>
    <xf numFmtId="0" fontId="0" fillId="0" borderId="3" xfId="0" applyBorder="1"/>
    <xf numFmtId="0" fontId="0" fillId="0" borderId="4" xfId="0" applyBorder="1"/>
    <xf numFmtId="0" fontId="0" fillId="0" borderId="11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9" xfId="0" applyBorder="1" applyAlignment="1">
      <alignment horizontal="right"/>
    </xf>
    <xf numFmtId="0" fontId="0" fillId="0" borderId="30" xfId="0" applyBorder="1" applyAlignment="1">
      <alignment horizontal="right"/>
    </xf>
    <xf numFmtId="0" fontId="0" fillId="0" borderId="0" xfId="0" applyBorder="1"/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" xfId="0" applyBorder="1"/>
    <xf numFmtId="0" fontId="0" fillId="0" borderId="8" xfId="0" applyBorder="1"/>
    <xf numFmtId="0" fontId="2" fillId="0" borderId="8" xfId="0" applyFont="1" applyBorder="1"/>
    <xf numFmtId="0" fontId="2" fillId="0" borderId="11" xfId="0" applyFont="1" applyBorder="1"/>
    <xf numFmtId="0" fontId="2" fillId="0" borderId="15" xfId="0" applyFont="1" applyBorder="1"/>
    <xf numFmtId="0" fontId="0" fillId="0" borderId="8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0" borderId="10" xfId="0" applyFont="1" applyBorder="1"/>
    <xf numFmtId="0" fontId="2" fillId="0" borderId="6" xfId="0" applyFont="1" applyBorder="1"/>
    <xf numFmtId="0" fontId="2" fillId="0" borderId="13" xfId="0" applyFont="1" applyBorder="1"/>
    <xf numFmtId="0" fontId="0" fillId="0" borderId="25" xfId="0" applyBorder="1" applyAlignment="1">
      <alignment horizontal="center"/>
    </xf>
    <xf numFmtId="0" fontId="2" fillId="0" borderId="22" xfId="0" applyFont="1" applyBorder="1" applyAlignment="1">
      <alignment horizontal="right"/>
    </xf>
    <xf numFmtId="0" fontId="2" fillId="0" borderId="21" xfId="0" applyFont="1" applyBorder="1" applyAlignment="1">
      <alignment horizontal="right"/>
    </xf>
    <xf numFmtId="0" fontId="2" fillId="0" borderId="24" xfId="0" applyFont="1" applyBorder="1" applyAlignment="1">
      <alignment horizontal="right"/>
    </xf>
    <xf numFmtId="0" fontId="2" fillId="0" borderId="23" xfId="0" applyFont="1" applyBorder="1" applyAlignment="1">
      <alignment horizontal="right"/>
    </xf>
    <xf numFmtId="0" fontId="2" fillId="0" borderId="35" xfId="0" applyFont="1" applyBorder="1" applyAlignment="1">
      <alignment horizontal="right"/>
    </xf>
    <xf numFmtId="0" fontId="2" fillId="0" borderId="17" xfId="0" applyFont="1" applyBorder="1" applyAlignment="1">
      <alignment horizontal="right"/>
    </xf>
    <xf numFmtId="0" fontId="0" fillId="0" borderId="11" xfId="0" applyBorder="1" applyAlignment="1">
      <alignment horizontal="left" vertical="center" wrapText="1"/>
    </xf>
    <xf numFmtId="0" fontId="0" fillId="0" borderId="3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4" xfId="0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9" fontId="0" fillId="0" borderId="26" xfId="1" applyFont="1" applyBorder="1" applyAlignment="1">
      <alignment horizontal="right"/>
    </xf>
    <xf numFmtId="0" fontId="0" fillId="0" borderId="10" xfId="0" applyBorder="1"/>
    <xf numFmtId="0" fontId="0" fillId="0" borderId="5" xfId="0" applyBorder="1"/>
    <xf numFmtId="0" fontId="2" fillId="0" borderId="11" xfId="0" applyFont="1" applyBorder="1"/>
    <xf numFmtId="0" fontId="0" fillId="0" borderId="9" xfId="0" applyBorder="1"/>
    <xf numFmtId="0" fontId="0" fillId="2" borderId="5" xfId="0" applyFill="1" applyBorder="1"/>
    <xf numFmtId="0" fontId="0" fillId="2" borderId="8" xfId="0" applyFill="1" applyBorder="1"/>
    <xf numFmtId="0" fontId="2" fillId="0" borderId="9" xfId="0" applyFont="1" applyBorder="1"/>
    <xf numFmtId="0" fontId="0" fillId="0" borderId="0" xfId="0"/>
    <xf numFmtId="0" fontId="0" fillId="0" borderId="26" xfId="0" applyBorder="1"/>
    <xf numFmtId="0" fontId="0" fillId="0" borderId="14" xfId="0" applyBorder="1"/>
    <xf numFmtId="0" fontId="0" fillId="0" borderId="7" xfId="0" applyBorder="1"/>
    <xf numFmtId="0" fontId="0" fillId="0" borderId="5" xfId="0" applyBorder="1"/>
    <xf numFmtId="0" fontId="0" fillId="0" borderId="12" xfId="0" applyBorder="1"/>
    <xf numFmtId="0" fontId="0" fillId="0" borderId="8" xfId="0" applyBorder="1"/>
    <xf numFmtId="0" fontId="0" fillId="0" borderId="11" xfId="0" applyBorder="1"/>
    <xf numFmtId="0" fontId="0" fillId="0" borderId="15" xfId="0" applyBorder="1"/>
    <xf numFmtId="0" fontId="0" fillId="0" borderId="9" xfId="0" applyBorder="1"/>
    <xf numFmtId="0" fontId="0" fillId="0" borderId="1" xfId="0" applyBorder="1"/>
    <xf numFmtId="0" fontId="0" fillId="0" borderId="29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9" fontId="0" fillId="0" borderId="26" xfId="1" applyFont="1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6" xfId="0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4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25" xfId="0" applyBorder="1" applyAlignment="1">
      <alignment horizontal="center" vertical="center"/>
    </xf>
    <xf numFmtId="0" fontId="0" fillId="0" borderId="25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T54"/>
  <sheetViews>
    <sheetView tabSelected="1" topLeftCell="A31" workbookViewId="0">
      <selection activeCell="F35" sqref="F35:J52"/>
    </sheetView>
  </sheetViews>
  <sheetFormatPr defaultRowHeight="14.4" x14ac:dyDescent="0.3"/>
  <cols>
    <col min="6" max="6" width="11.5546875" customWidth="1"/>
    <col min="9" max="9" width="8.88671875" customWidth="1"/>
    <col min="10" max="10" width="14.33203125" customWidth="1"/>
    <col min="16" max="16" width="11.6640625" customWidth="1"/>
  </cols>
  <sheetData>
    <row r="1" spans="1:20" ht="15" thickBot="1" x14ac:dyDescent="0.35">
      <c r="A1" s="24" t="s">
        <v>10</v>
      </c>
      <c r="B1" s="26"/>
      <c r="C1" s="26"/>
      <c r="D1" s="26"/>
      <c r="E1" s="26"/>
      <c r="F1" s="25"/>
      <c r="H1" s="34" t="s">
        <v>11</v>
      </c>
      <c r="I1" s="35"/>
      <c r="J1" s="35"/>
      <c r="K1" s="35"/>
      <c r="L1" s="35"/>
      <c r="M1" s="35"/>
      <c r="N1" s="35"/>
      <c r="O1" s="36"/>
    </row>
    <row r="2" spans="1:20" ht="15" thickBot="1" x14ac:dyDescent="0.35">
      <c r="A2" s="1" t="s">
        <v>0</v>
      </c>
      <c r="B2" s="51" t="s">
        <v>1</v>
      </c>
      <c r="C2" s="52"/>
      <c r="D2" s="3" t="s">
        <v>2</v>
      </c>
      <c r="E2" s="4" t="s">
        <v>3</v>
      </c>
      <c r="F2" s="2" t="s">
        <v>4</v>
      </c>
      <c r="H2" s="24"/>
      <c r="I2" s="26"/>
      <c r="J2" s="25"/>
      <c r="K2" s="8" t="s">
        <v>12</v>
      </c>
      <c r="L2" s="9" t="s">
        <v>13</v>
      </c>
      <c r="M2" s="8" t="s">
        <v>14</v>
      </c>
      <c r="N2" s="9" t="s">
        <v>15</v>
      </c>
      <c r="O2" s="22" t="s">
        <v>16</v>
      </c>
    </row>
    <row r="3" spans="1:20" ht="15" thickBot="1" x14ac:dyDescent="0.35">
      <c r="A3" s="5">
        <v>1</v>
      </c>
      <c r="B3" s="6" t="s">
        <v>5</v>
      </c>
      <c r="C3" s="7"/>
      <c r="D3" s="8">
        <v>5</v>
      </c>
      <c r="E3" s="9">
        <v>15000</v>
      </c>
      <c r="F3" s="10">
        <f>D3*E3</f>
        <v>75000</v>
      </c>
      <c r="H3" s="48" t="s">
        <v>17</v>
      </c>
      <c r="I3" s="49"/>
      <c r="J3" s="50"/>
      <c r="K3">
        <v>25</v>
      </c>
      <c r="L3" s="14">
        <v>20</v>
      </c>
      <c r="M3">
        <v>9</v>
      </c>
      <c r="N3" s="14">
        <v>54</v>
      </c>
      <c r="O3" s="23">
        <f>N3/N$7</f>
        <v>0.20930232558139536</v>
      </c>
    </row>
    <row r="4" spans="1:20" ht="15" thickBot="1" x14ac:dyDescent="0.35">
      <c r="A4" s="11">
        <v>2</v>
      </c>
      <c r="B4" s="12" t="s">
        <v>6</v>
      </c>
      <c r="C4" s="13"/>
      <c r="D4">
        <v>15</v>
      </c>
      <c r="E4" s="14">
        <v>3000</v>
      </c>
      <c r="F4" s="10">
        <f t="shared" ref="F4:F6" si="0">D4*E4</f>
        <v>45000</v>
      </c>
      <c r="H4" s="31" t="s">
        <v>18</v>
      </c>
      <c r="I4" s="32"/>
      <c r="J4" s="33"/>
      <c r="K4" s="8">
        <v>28</v>
      </c>
      <c r="L4" s="9">
        <v>23</v>
      </c>
      <c r="M4" s="8">
        <v>21</v>
      </c>
      <c r="N4" s="9">
        <v>72</v>
      </c>
      <c r="O4" s="23">
        <f t="shared" ref="O4:O8" si="1">N4/N$7</f>
        <v>0.27906976744186046</v>
      </c>
    </row>
    <row r="5" spans="1:20" ht="15" thickBot="1" x14ac:dyDescent="0.35">
      <c r="A5" s="5">
        <v>3</v>
      </c>
      <c r="B5" s="6" t="s">
        <v>7</v>
      </c>
      <c r="C5" s="7"/>
      <c r="D5" s="8">
        <v>10</v>
      </c>
      <c r="E5" s="9">
        <v>7500</v>
      </c>
      <c r="F5" s="10">
        <f t="shared" si="0"/>
        <v>75000</v>
      </c>
      <c r="H5" s="48" t="s">
        <v>19</v>
      </c>
      <c r="I5" s="49"/>
      <c r="J5" s="50"/>
      <c r="K5">
        <v>27</v>
      </c>
      <c r="L5" s="14">
        <v>58</v>
      </c>
      <c r="M5">
        <v>20</v>
      </c>
      <c r="N5" s="14">
        <v>105</v>
      </c>
      <c r="O5" s="23">
        <f t="shared" si="1"/>
        <v>0.40697674418604651</v>
      </c>
    </row>
    <row r="6" spans="1:20" ht="15" thickBot="1" x14ac:dyDescent="0.35">
      <c r="A6" s="11">
        <v>4</v>
      </c>
      <c r="B6" s="12" t="s">
        <v>8</v>
      </c>
      <c r="C6" s="13"/>
      <c r="D6">
        <v>50</v>
      </c>
      <c r="E6" s="14">
        <v>120</v>
      </c>
      <c r="F6" s="10">
        <f t="shared" si="0"/>
        <v>6000</v>
      </c>
      <c r="H6" s="31" t="s">
        <v>20</v>
      </c>
      <c r="I6" s="32"/>
      <c r="J6" s="33"/>
      <c r="K6" s="8">
        <v>8</v>
      </c>
      <c r="L6" s="9">
        <v>10</v>
      </c>
      <c r="M6" s="8">
        <v>9</v>
      </c>
      <c r="N6" s="9">
        <v>27</v>
      </c>
      <c r="O6" s="23">
        <f t="shared" si="1"/>
        <v>0.10465116279069768</v>
      </c>
    </row>
    <row r="7" spans="1:20" ht="15" thickBot="1" x14ac:dyDescent="0.35">
      <c r="A7" s="15"/>
      <c r="B7" s="5"/>
      <c r="C7" s="16"/>
      <c r="D7" s="8"/>
      <c r="E7" s="9"/>
      <c r="F7" s="10"/>
      <c r="H7" s="48" t="s">
        <v>15</v>
      </c>
      <c r="I7" s="49"/>
      <c r="J7" s="50"/>
      <c r="K7">
        <f>SUM(K3:K6)</f>
        <v>88</v>
      </c>
      <c r="L7" s="14">
        <f>SUM(L3:L6)</f>
        <v>111</v>
      </c>
      <c r="M7">
        <f>SUM(M3:M6)</f>
        <v>59</v>
      </c>
      <c r="N7" s="14">
        <f>SUM(N3:N6)</f>
        <v>258</v>
      </c>
      <c r="O7" s="23">
        <f t="shared" si="1"/>
        <v>1</v>
      </c>
    </row>
    <row r="8" spans="1:20" ht="15" thickBot="1" x14ac:dyDescent="0.35">
      <c r="A8" s="17"/>
      <c r="B8" s="20" t="s">
        <v>9</v>
      </c>
      <c r="C8" s="21"/>
      <c r="D8" s="18"/>
      <c r="E8" s="19"/>
      <c r="F8" s="10">
        <f>SUM(F3:F7)</f>
        <v>201000</v>
      </c>
      <c r="H8" s="31" t="s">
        <v>21</v>
      </c>
      <c r="I8" s="32"/>
      <c r="J8" s="33"/>
      <c r="K8" s="8">
        <v>63</v>
      </c>
      <c r="L8" s="9">
        <v>91</v>
      </c>
      <c r="M8" s="8">
        <v>50</v>
      </c>
      <c r="N8" s="70">
        <v>204</v>
      </c>
      <c r="O8" s="97">
        <f t="shared" si="1"/>
        <v>0.79069767441860461</v>
      </c>
    </row>
    <row r="11" spans="1:20" ht="15" thickBot="1" x14ac:dyDescent="0.35">
      <c r="A11" s="122" t="s">
        <v>22</v>
      </c>
      <c r="B11" s="122"/>
      <c r="C11" s="122"/>
      <c r="D11" s="122"/>
      <c r="E11" s="122"/>
      <c r="F11" s="122"/>
      <c r="G11" s="122"/>
      <c r="H11" s="122"/>
      <c r="J11" s="69" t="s">
        <v>42</v>
      </c>
      <c r="K11" s="84"/>
      <c r="L11" s="84"/>
      <c r="M11" s="84"/>
      <c r="N11" s="84"/>
      <c r="P11" s="69"/>
      <c r="Q11" s="84"/>
      <c r="R11" s="84"/>
      <c r="S11" s="84"/>
      <c r="T11" s="84"/>
    </row>
    <row r="12" spans="1:20" ht="10.8" customHeight="1" x14ac:dyDescent="0.3">
      <c r="A12" s="123" t="s">
        <v>23</v>
      </c>
      <c r="B12" s="129" t="s">
        <v>24</v>
      </c>
      <c r="C12" s="128" t="s">
        <v>25</v>
      </c>
      <c r="D12" s="128"/>
      <c r="E12" s="128" t="s">
        <v>26</v>
      </c>
      <c r="F12" s="128" t="s">
        <v>27</v>
      </c>
      <c r="G12" s="127" t="s">
        <v>28</v>
      </c>
      <c r="H12" s="127"/>
      <c r="I12" s="105"/>
      <c r="J12" s="46" t="s">
        <v>43</v>
      </c>
      <c r="K12" s="40" t="s">
        <v>44</v>
      </c>
      <c r="L12" s="41"/>
      <c r="M12" s="46" t="s">
        <v>45</v>
      </c>
      <c r="N12" s="46" t="s">
        <v>46</v>
      </c>
      <c r="O12" s="105"/>
      <c r="P12" s="46" t="s">
        <v>43</v>
      </c>
      <c r="Q12" s="40" t="s">
        <v>44</v>
      </c>
      <c r="R12" s="41"/>
      <c r="S12" s="46" t="s">
        <v>45</v>
      </c>
      <c r="T12" s="46" t="s">
        <v>46</v>
      </c>
    </row>
    <row r="13" spans="1:20" ht="15" thickBot="1" x14ac:dyDescent="0.35">
      <c r="A13" s="124"/>
      <c r="B13" s="130"/>
      <c r="C13" s="45"/>
      <c r="D13" s="45"/>
      <c r="E13" s="45"/>
      <c r="F13" s="45"/>
      <c r="G13" s="39"/>
      <c r="H13" s="39"/>
      <c r="I13" s="105"/>
      <c r="J13" s="63"/>
      <c r="K13" s="61"/>
      <c r="L13" s="62"/>
      <c r="M13" s="63"/>
      <c r="N13" s="63"/>
      <c r="O13" s="105"/>
      <c r="P13" s="63"/>
      <c r="Q13" s="61"/>
      <c r="R13" s="62"/>
      <c r="S13" s="63"/>
      <c r="T13" s="63"/>
    </row>
    <row r="14" spans="1:20" ht="13.2" customHeight="1" thickBot="1" x14ac:dyDescent="0.35">
      <c r="A14" s="59" t="s">
        <v>29</v>
      </c>
      <c r="B14" s="58" t="s">
        <v>30</v>
      </c>
      <c r="C14" s="64">
        <v>120000</v>
      </c>
      <c r="D14" s="65"/>
      <c r="E14" s="58">
        <v>50000</v>
      </c>
      <c r="F14" s="115">
        <f>$A$22*(C14+E14)</f>
        <v>22100</v>
      </c>
      <c r="G14" s="125">
        <f>C14+E14-F14</f>
        <v>147900</v>
      </c>
      <c r="H14" s="126"/>
      <c r="I14" s="105"/>
      <c r="J14" s="47"/>
      <c r="K14" s="42"/>
      <c r="L14" s="43"/>
      <c r="M14" s="47"/>
      <c r="N14" s="47"/>
      <c r="O14" s="105"/>
      <c r="P14" s="47"/>
      <c r="Q14" s="42"/>
      <c r="R14" s="43"/>
      <c r="S14" s="47"/>
      <c r="T14" s="47"/>
    </row>
    <row r="15" spans="1:20" ht="13.2" customHeight="1" thickBot="1" x14ac:dyDescent="0.35">
      <c r="A15" s="106" t="s">
        <v>31</v>
      </c>
      <c r="B15" s="106" t="s">
        <v>32</v>
      </c>
      <c r="C15" s="55">
        <v>100000</v>
      </c>
      <c r="D15" s="55"/>
      <c r="E15" s="106">
        <v>35000</v>
      </c>
      <c r="F15" s="106">
        <f t="shared" ref="F15:F19" si="2">$A$22*(C15+E15)</f>
        <v>17550</v>
      </c>
      <c r="G15" s="56">
        <f t="shared" ref="G15:G19" si="3">C15+E15-F15</f>
        <v>117450</v>
      </c>
      <c r="H15" s="56"/>
      <c r="J15" s="71" t="s">
        <v>47</v>
      </c>
      <c r="K15" s="32" t="s">
        <v>48</v>
      </c>
      <c r="L15" s="32"/>
      <c r="M15" s="79">
        <v>6671</v>
      </c>
      <c r="N15" s="80">
        <v>2870</v>
      </c>
      <c r="P15" s="71" t="s">
        <v>47</v>
      </c>
      <c r="Q15" s="32" t="s">
        <v>48</v>
      </c>
      <c r="R15" s="32"/>
      <c r="S15" s="79">
        <v>6671</v>
      </c>
      <c r="T15" s="80">
        <v>2870</v>
      </c>
    </row>
    <row r="16" spans="1:20" ht="13.8" customHeight="1" x14ac:dyDescent="0.3">
      <c r="A16" s="106" t="s">
        <v>33</v>
      </c>
      <c r="B16" s="106" t="s">
        <v>34</v>
      </c>
      <c r="C16" s="55">
        <v>110000</v>
      </c>
      <c r="D16" s="55"/>
      <c r="E16" s="106">
        <v>45000</v>
      </c>
      <c r="F16" s="106">
        <f t="shared" si="2"/>
        <v>20150</v>
      </c>
      <c r="G16" s="56">
        <f t="shared" si="3"/>
        <v>134850</v>
      </c>
      <c r="H16" s="56"/>
      <c r="J16" s="91" t="s">
        <v>49</v>
      </c>
      <c r="K16" s="49" t="s">
        <v>50</v>
      </c>
      <c r="L16" s="49"/>
      <c r="M16" s="60">
        <v>6437</v>
      </c>
      <c r="N16" s="53">
        <v>6915</v>
      </c>
      <c r="P16" s="91" t="s">
        <v>49</v>
      </c>
      <c r="Q16" s="49" t="s">
        <v>50</v>
      </c>
      <c r="R16" s="49"/>
      <c r="S16" s="60">
        <v>6437</v>
      </c>
      <c r="T16" s="53">
        <v>6915</v>
      </c>
    </row>
    <row r="17" spans="1:20" ht="8.4" customHeight="1" thickBot="1" x14ac:dyDescent="0.35">
      <c r="A17" s="112" t="s">
        <v>35</v>
      </c>
      <c r="B17" s="66" t="s">
        <v>36</v>
      </c>
      <c r="C17" s="27">
        <v>70000</v>
      </c>
      <c r="D17" s="28"/>
      <c r="E17" s="66">
        <v>20000</v>
      </c>
      <c r="F17" s="114">
        <f t="shared" si="2"/>
        <v>11700</v>
      </c>
      <c r="G17" s="120">
        <f t="shared" si="3"/>
        <v>78300</v>
      </c>
      <c r="H17" s="121"/>
      <c r="J17" s="91"/>
      <c r="K17" s="49"/>
      <c r="L17" s="49"/>
      <c r="M17" s="60"/>
      <c r="N17" s="53"/>
      <c r="P17" s="91"/>
      <c r="Q17" s="49"/>
      <c r="R17" s="49"/>
      <c r="S17" s="60"/>
      <c r="T17" s="53"/>
    </row>
    <row r="18" spans="1:20" x14ac:dyDescent="0.3">
      <c r="A18" s="106" t="s">
        <v>37</v>
      </c>
      <c r="B18" s="106" t="s">
        <v>38</v>
      </c>
      <c r="C18" s="55">
        <v>80000</v>
      </c>
      <c r="D18" s="55"/>
      <c r="E18" s="106">
        <v>10000</v>
      </c>
      <c r="F18" s="106">
        <f t="shared" si="2"/>
        <v>11700</v>
      </c>
      <c r="G18" s="56">
        <f t="shared" si="3"/>
        <v>78300</v>
      </c>
      <c r="H18" s="56"/>
      <c r="J18" s="94" t="s">
        <v>51</v>
      </c>
      <c r="K18" s="92" t="s">
        <v>50</v>
      </c>
      <c r="L18" s="92"/>
      <c r="M18" s="37">
        <v>6280</v>
      </c>
      <c r="N18" s="29">
        <v>6915</v>
      </c>
      <c r="P18" s="94" t="s">
        <v>51</v>
      </c>
      <c r="Q18" s="92" t="s">
        <v>50</v>
      </c>
      <c r="R18" s="92"/>
      <c r="S18" s="37">
        <v>6280</v>
      </c>
      <c r="T18" s="29">
        <v>6915</v>
      </c>
    </row>
    <row r="19" spans="1:20" ht="18.600000000000001" customHeight="1" thickBot="1" x14ac:dyDescent="0.35">
      <c r="A19" s="112" t="s">
        <v>39</v>
      </c>
      <c r="B19" s="66" t="s">
        <v>38</v>
      </c>
      <c r="C19" s="27">
        <v>80000</v>
      </c>
      <c r="D19" s="28"/>
      <c r="E19" s="66">
        <v>30000</v>
      </c>
      <c r="F19" s="114">
        <f t="shared" si="2"/>
        <v>14300</v>
      </c>
      <c r="G19" s="120">
        <f t="shared" si="3"/>
        <v>95700</v>
      </c>
      <c r="H19" s="121"/>
      <c r="J19" s="95"/>
      <c r="K19" s="93"/>
      <c r="L19" s="93"/>
      <c r="M19" s="38"/>
      <c r="N19" s="30"/>
      <c r="P19" s="95"/>
      <c r="Q19" s="93"/>
      <c r="R19" s="93"/>
      <c r="S19" s="38"/>
      <c r="T19" s="30"/>
    </row>
    <row r="20" spans="1:20" ht="15" thickBot="1" x14ac:dyDescent="0.35">
      <c r="A20" s="106"/>
      <c r="B20" s="106"/>
      <c r="C20" s="56"/>
      <c r="D20" s="56"/>
      <c r="E20" s="106"/>
      <c r="F20" s="106" t="s">
        <v>41</v>
      </c>
      <c r="G20" s="56">
        <f>SUM(G14:H19)</f>
        <v>652500</v>
      </c>
      <c r="H20" s="56"/>
      <c r="J20" s="76" t="s">
        <v>52</v>
      </c>
      <c r="K20" s="49" t="s">
        <v>53</v>
      </c>
      <c r="L20" s="49"/>
      <c r="M20" s="77">
        <v>5971</v>
      </c>
      <c r="N20" s="78">
        <v>3268</v>
      </c>
      <c r="P20" s="76" t="s">
        <v>52</v>
      </c>
      <c r="Q20" s="49" t="s">
        <v>53</v>
      </c>
      <c r="R20" s="49"/>
      <c r="S20" s="77">
        <v>5971</v>
      </c>
      <c r="T20" s="78">
        <v>3268</v>
      </c>
    </row>
    <row r="21" spans="1:20" ht="15" thickBot="1" x14ac:dyDescent="0.35">
      <c r="A21" s="56" t="s">
        <v>40</v>
      </c>
      <c r="B21" s="56"/>
      <c r="C21" s="56"/>
      <c r="D21" s="56"/>
      <c r="E21" s="56"/>
      <c r="F21" s="106"/>
      <c r="G21" s="56"/>
      <c r="H21" s="56"/>
      <c r="J21" s="75" t="s">
        <v>54</v>
      </c>
      <c r="K21" s="32" t="s">
        <v>53</v>
      </c>
      <c r="L21" s="32"/>
      <c r="M21" s="79">
        <v>5800</v>
      </c>
      <c r="N21" s="80">
        <v>1808</v>
      </c>
      <c r="P21" s="75" t="s">
        <v>54</v>
      </c>
      <c r="Q21" s="32" t="s">
        <v>53</v>
      </c>
      <c r="R21" s="32"/>
      <c r="S21" s="79">
        <v>5800</v>
      </c>
      <c r="T21" s="80">
        <v>1808</v>
      </c>
    </row>
    <row r="22" spans="1:20" ht="15" thickBot="1" x14ac:dyDescent="0.35">
      <c r="A22" s="106">
        <v>0.13</v>
      </c>
      <c r="B22" s="106"/>
      <c r="C22" s="106"/>
      <c r="D22" s="106"/>
      <c r="E22" s="106"/>
      <c r="F22" s="106"/>
      <c r="G22" s="106"/>
      <c r="H22" s="106"/>
      <c r="J22" s="76" t="s">
        <v>55</v>
      </c>
      <c r="K22" s="49" t="s">
        <v>53</v>
      </c>
      <c r="L22" s="49"/>
      <c r="M22" s="77">
        <v>5410</v>
      </c>
      <c r="N22" s="78">
        <v>2990</v>
      </c>
    </row>
    <row r="23" spans="1:20" ht="15" thickBot="1" x14ac:dyDescent="0.35">
      <c r="J23" s="75" t="s">
        <v>56</v>
      </c>
      <c r="K23" s="32" t="s">
        <v>53</v>
      </c>
      <c r="L23" s="32"/>
      <c r="M23" s="79">
        <v>4700</v>
      </c>
      <c r="N23" s="80">
        <v>3100</v>
      </c>
    </row>
    <row r="24" spans="1:20" x14ac:dyDescent="0.3">
      <c r="J24" s="76" t="s">
        <v>57</v>
      </c>
      <c r="K24" s="49" t="s">
        <v>53</v>
      </c>
      <c r="L24" s="49"/>
      <c r="M24" s="77">
        <v>4670</v>
      </c>
      <c r="N24" s="78">
        <v>745</v>
      </c>
    </row>
    <row r="25" spans="1:20" ht="15" thickBot="1" x14ac:dyDescent="0.35">
      <c r="J25" s="75" t="s">
        <v>58</v>
      </c>
      <c r="K25" s="32" t="s">
        <v>53</v>
      </c>
      <c r="L25" s="32"/>
      <c r="M25" s="79">
        <v>4500</v>
      </c>
      <c r="N25" s="80">
        <v>810</v>
      </c>
    </row>
    <row r="26" spans="1:20" x14ac:dyDescent="0.3">
      <c r="J26" s="76" t="s">
        <v>59</v>
      </c>
      <c r="K26" s="49" t="s">
        <v>53</v>
      </c>
      <c r="L26" s="49"/>
      <c r="M26" s="77">
        <v>4444</v>
      </c>
      <c r="N26" s="78">
        <v>1855</v>
      </c>
    </row>
    <row r="27" spans="1:20" ht="15" thickBot="1" x14ac:dyDescent="0.35">
      <c r="J27" s="75" t="s">
        <v>60</v>
      </c>
      <c r="K27" s="32" t="s">
        <v>53</v>
      </c>
      <c r="L27" s="32"/>
      <c r="M27" s="79">
        <v>4400</v>
      </c>
      <c r="N27" s="80">
        <v>2490</v>
      </c>
    </row>
    <row r="28" spans="1:20" ht="15" thickBot="1" x14ac:dyDescent="0.35">
      <c r="J28" s="85" t="s">
        <v>61</v>
      </c>
      <c r="K28" s="86"/>
      <c r="L28" s="86"/>
      <c r="M28" s="73">
        <f>MIN(M15:M27)</f>
        <v>4400</v>
      </c>
      <c r="N28" s="81">
        <f>MIN(N18:N27)</f>
        <v>745</v>
      </c>
    </row>
    <row r="29" spans="1:20" ht="15" thickBot="1" x14ac:dyDescent="0.35">
      <c r="J29" s="87" t="s">
        <v>62</v>
      </c>
      <c r="K29" s="88"/>
      <c r="L29" s="88"/>
      <c r="M29" s="72">
        <f>MAX(M15:M27)</f>
        <v>6671</v>
      </c>
      <c r="N29" s="82">
        <f>MAX(N15:N27)</f>
        <v>6915</v>
      </c>
    </row>
    <row r="30" spans="1:20" ht="15" thickBot="1" x14ac:dyDescent="0.35">
      <c r="J30" s="89" t="s">
        <v>63</v>
      </c>
      <c r="K30" s="90"/>
      <c r="L30" s="90"/>
      <c r="M30" s="74">
        <f>AVERAGE(M15:M27)</f>
        <v>5389.363636363636</v>
      </c>
      <c r="N30" s="83">
        <f>AVERAGE(N15:N27)</f>
        <v>3069.6363636363635</v>
      </c>
    </row>
    <row r="34" spans="1:10" ht="15" thickBot="1" x14ac:dyDescent="0.35"/>
    <row r="35" spans="1:10" x14ac:dyDescent="0.3">
      <c r="A35" s="57" t="s">
        <v>84</v>
      </c>
      <c r="B35" s="57"/>
      <c r="C35" s="57"/>
      <c r="D35" s="57"/>
      <c r="F35" s="116" t="s">
        <v>85</v>
      </c>
      <c r="G35" s="46" t="s">
        <v>86</v>
      </c>
      <c r="H35" s="44" t="s">
        <v>87</v>
      </c>
      <c r="I35" s="40" t="s">
        <v>88</v>
      </c>
      <c r="J35" s="41"/>
    </row>
    <row r="36" spans="1:10" ht="15" thickBot="1" x14ac:dyDescent="0.35">
      <c r="A36" s="104" t="s">
        <v>64</v>
      </c>
      <c r="B36" s="100">
        <v>524.1</v>
      </c>
      <c r="C36" s="101"/>
      <c r="D36" s="98"/>
      <c r="F36" s="117"/>
      <c r="G36" s="63"/>
      <c r="H36" s="96"/>
      <c r="I36" s="61"/>
      <c r="J36" s="62"/>
    </row>
    <row r="37" spans="1:10" ht="15" thickBot="1" x14ac:dyDescent="0.35">
      <c r="A37" s="51" t="s">
        <v>65</v>
      </c>
      <c r="B37" s="40" t="s">
        <v>66</v>
      </c>
      <c r="C37" s="54" t="s">
        <v>67</v>
      </c>
      <c r="D37" s="54"/>
      <c r="F37" s="118"/>
      <c r="G37" s="47"/>
      <c r="H37" s="45"/>
      <c r="I37" s="61"/>
      <c r="J37" s="62"/>
    </row>
    <row r="38" spans="1:10" ht="15" thickBot="1" x14ac:dyDescent="0.35">
      <c r="A38" s="67"/>
      <c r="B38" s="42"/>
      <c r="C38" s="54"/>
      <c r="D38" s="54"/>
      <c r="F38" s="114" t="s">
        <v>89</v>
      </c>
      <c r="G38" s="112">
        <v>3423</v>
      </c>
      <c r="H38" s="105">
        <v>556</v>
      </c>
      <c r="I38" s="119">
        <f>H38/G38</f>
        <v>0.16243061641834647</v>
      </c>
      <c r="J38" s="119"/>
    </row>
    <row r="39" spans="1:10" ht="15" thickBot="1" x14ac:dyDescent="0.35">
      <c r="A39" s="101" t="s">
        <v>68</v>
      </c>
      <c r="B39" s="101">
        <v>1220</v>
      </c>
      <c r="C39" s="56">
        <f>B39*$B$36</f>
        <v>639402</v>
      </c>
      <c r="D39" s="56"/>
      <c r="F39" s="109" t="s">
        <v>74</v>
      </c>
      <c r="G39" s="111">
        <v>11914</v>
      </c>
      <c r="H39" s="108">
        <v>1615</v>
      </c>
      <c r="I39" s="119">
        <f t="shared" ref="I39:I52" si="4">H39/G39</f>
        <v>0.13555480946785295</v>
      </c>
      <c r="J39" s="119"/>
    </row>
    <row r="40" spans="1:10" ht="15" thickBot="1" x14ac:dyDescent="0.35">
      <c r="A40" s="99" t="s">
        <v>69</v>
      </c>
      <c r="B40" s="99">
        <v>1020</v>
      </c>
      <c r="C40" s="56">
        <f t="shared" ref="C40:C54" si="5">B40*$B$36</f>
        <v>534582</v>
      </c>
      <c r="D40" s="56"/>
      <c r="F40" s="114" t="s">
        <v>82</v>
      </c>
      <c r="G40" s="112">
        <v>25994</v>
      </c>
      <c r="H40" s="105">
        <v>1965</v>
      </c>
      <c r="I40" s="119">
        <f t="shared" si="4"/>
        <v>7.5594367931061016E-2</v>
      </c>
      <c r="J40" s="119"/>
    </row>
    <row r="41" spans="1:10" ht="15" thickBot="1" x14ac:dyDescent="0.35">
      <c r="A41" s="101" t="s">
        <v>70</v>
      </c>
      <c r="B41" s="101">
        <v>450</v>
      </c>
      <c r="C41" s="56">
        <f t="shared" si="5"/>
        <v>235845</v>
      </c>
      <c r="D41" s="56"/>
      <c r="F41" s="109" t="s">
        <v>76</v>
      </c>
      <c r="G41" s="111">
        <v>2141</v>
      </c>
      <c r="H41" s="108">
        <v>155</v>
      </c>
      <c r="I41" s="119">
        <f t="shared" si="4"/>
        <v>7.2396076599719764E-2</v>
      </c>
      <c r="J41" s="119"/>
    </row>
    <row r="42" spans="1:10" ht="15" thickBot="1" x14ac:dyDescent="0.35">
      <c r="A42" s="99" t="s">
        <v>71</v>
      </c>
      <c r="B42" s="99">
        <v>2262</v>
      </c>
      <c r="C42" s="56">
        <f t="shared" si="5"/>
        <v>1185514.2</v>
      </c>
      <c r="D42" s="56"/>
      <c r="F42" s="114" t="s">
        <v>75</v>
      </c>
      <c r="G42" s="112">
        <v>2321</v>
      </c>
      <c r="H42" s="105">
        <v>135</v>
      </c>
      <c r="I42" s="119">
        <f t="shared" si="4"/>
        <v>5.8164584230934943E-2</v>
      </c>
      <c r="J42" s="119"/>
    </row>
    <row r="43" spans="1:10" ht="15" thickBot="1" x14ac:dyDescent="0.35">
      <c r="A43" s="101" t="s">
        <v>72</v>
      </c>
      <c r="B43" s="101">
        <v>910</v>
      </c>
      <c r="C43" s="56">
        <f t="shared" si="5"/>
        <v>476931</v>
      </c>
      <c r="D43" s="56"/>
      <c r="F43" s="109" t="s">
        <v>70</v>
      </c>
      <c r="G43" s="111">
        <v>5739</v>
      </c>
      <c r="H43" s="108">
        <v>207</v>
      </c>
      <c r="I43" s="119">
        <f t="shared" si="4"/>
        <v>3.6069001568217463E-2</v>
      </c>
      <c r="J43" s="119"/>
    </row>
    <row r="44" spans="1:10" ht="15" thickBot="1" x14ac:dyDescent="0.35">
      <c r="A44" s="99" t="s">
        <v>73</v>
      </c>
      <c r="B44" s="99">
        <v>820</v>
      </c>
      <c r="C44" s="56">
        <f t="shared" si="5"/>
        <v>429762</v>
      </c>
      <c r="D44" s="56"/>
      <c r="F44" s="114" t="s">
        <v>83</v>
      </c>
      <c r="G44" s="112">
        <v>6081</v>
      </c>
      <c r="H44" s="105">
        <v>214</v>
      </c>
      <c r="I44" s="119">
        <f t="shared" si="4"/>
        <v>3.5191580332182205E-2</v>
      </c>
      <c r="J44" s="119"/>
    </row>
    <row r="45" spans="1:10" ht="15" thickBot="1" x14ac:dyDescent="0.35">
      <c r="A45" s="101" t="s">
        <v>74</v>
      </c>
      <c r="B45" s="101">
        <v>480</v>
      </c>
      <c r="C45" s="56">
        <f t="shared" si="5"/>
        <v>251568</v>
      </c>
      <c r="D45" s="56"/>
      <c r="F45" s="109" t="s">
        <v>79</v>
      </c>
      <c r="G45" s="111">
        <v>7126</v>
      </c>
      <c r="H45" s="108">
        <v>214</v>
      </c>
      <c r="I45" s="119">
        <f t="shared" si="4"/>
        <v>3.003087285994948E-2</v>
      </c>
      <c r="J45" s="119"/>
    </row>
    <row r="46" spans="1:10" ht="15" thickBot="1" x14ac:dyDescent="0.35">
      <c r="A46" s="99" t="s">
        <v>75</v>
      </c>
      <c r="B46" s="99">
        <v>1020</v>
      </c>
      <c r="C46" s="56">
        <f t="shared" si="5"/>
        <v>534582</v>
      </c>
      <c r="D46" s="56"/>
      <c r="F46" s="114" t="s">
        <v>77</v>
      </c>
      <c r="G46" s="112">
        <v>50875</v>
      </c>
      <c r="H46" s="105">
        <v>999</v>
      </c>
      <c r="I46" s="119">
        <f t="shared" si="4"/>
        <v>1.9636363636363636E-2</v>
      </c>
      <c r="J46" s="119"/>
    </row>
    <row r="47" spans="1:10" ht="15" thickBot="1" x14ac:dyDescent="0.35">
      <c r="A47" s="101" t="s">
        <v>76</v>
      </c>
      <c r="B47" s="101">
        <v>860</v>
      </c>
      <c r="C47" s="56">
        <f t="shared" si="5"/>
        <v>450726</v>
      </c>
      <c r="D47" s="56"/>
      <c r="F47" s="109" t="s">
        <v>73</v>
      </c>
      <c r="G47" s="111">
        <v>14915</v>
      </c>
      <c r="H47" s="108">
        <v>282</v>
      </c>
      <c r="I47" s="119">
        <f t="shared" si="4"/>
        <v>1.890714046262152E-2</v>
      </c>
      <c r="J47" s="119"/>
    </row>
    <row r="48" spans="1:10" ht="15" thickBot="1" x14ac:dyDescent="0.35">
      <c r="A48" s="99" t="s">
        <v>77</v>
      </c>
      <c r="B48" s="99">
        <v>1850</v>
      </c>
      <c r="C48" s="56">
        <f t="shared" si="5"/>
        <v>969585</v>
      </c>
      <c r="D48" s="56"/>
      <c r="F48" s="114" t="s">
        <v>81</v>
      </c>
      <c r="G48" s="112">
        <v>6901</v>
      </c>
      <c r="H48" s="105">
        <v>123</v>
      </c>
      <c r="I48" s="119">
        <f t="shared" si="4"/>
        <v>1.7823503840023184E-2</v>
      </c>
      <c r="J48" s="119"/>
    </row>
    <row r="49" spans="1:10" ht="15" thickBot="1" x14ac:dyDescent="0.35">
      <c r="A49" s="101" t="s">
        <v>78</v>
      </c>
      <c r="B49" s="101">
        <v>930</v>
      </c>
      <c r="C49" s="56">
        <f t="shared" si="5"/>
        <v>487413</v>
      </c>
      <c r="D49" s="56"/>
      <c r="F49" s="109" t="s">
        <v>90</v>
      </c>
      <c r="G49" s="111">
        <v>14145</v>
      </c>
      <c r="H49" s="108">
        <v>233</v>
      </c>
      <c r="I49" s="119">
        <f t="shared" si="4"/>
        <v>1.6472251679038531E-2</v>
      </c>
      <c r="J49" s="119"/>
    </row>
    <row r="50" spans="1:10" ht="15" thickBot="1" x14ac:dyDescent="0.35">
      <c r="A50" s="99" t="s">
        <v>79</v>
      </c>
      <c r="B50" s="99">
        <v>1860</v>
      </c>
      <c r="C50" s="56">
        <f t="shared" si="5"/>
        <v>974826</v>
      </c>
      <c r="D50" s="56"/>
      <c r="F50" s="114" t="s">
        <v>72</v>
      </c>
      <c r="G50" s="112">
        <v>24224</v>
      </c>
      <c r="H50" s="105">
        <v>363</v>
      </c>
      <c r="I50" s="119">
        <f t="shared" si="4"/>
        <v>1.4985138705416116E-2</v>
      </c>
      <c r="J50" s="119"/>
    </row>
    <row r="51" spans="1:10" ht="15" thickBot="1" x14ac:dyDescent="0.35">
      <c r="A51" s="101" t="s">
        <v>80</v>
      </c>
      <c r="B51" s="101">
        <v>2520</v>
      </c>
      <c r="C51" s="56">
        <f t="shared" si="5"/>
        <v>1320732</v>
      </c>
      <c r="D51" s="56"/>
      <c r="F51" s="109" t="s">
        <v>91</v>
      </c>
      <c r="G51" s="111">
        <v>8294</v>
      </c>
      <c r="H51" s="108">
        <v>106</v>
      </c>
      <c r="I51" s="119">
        <f t="shared" si="4"/>
        <v>1.2780323125150711E-2</v>
      </c>
      <c r="J51" s="119"/>
    </row>
    <row r="52" spans="1:10" ht="15" thickBot="1" x14ac:dyDescent="0.35">
      <c r="A52" s="99" t="s">
        <v>81</v>
      </c>
      <c r="B52" s="99">
        <v>1570</v>
      </c>
      <c r="C52" s="56">
        <f t="shared" si="5"/>
        <v>822837</v>
      </c>
      <c r="D52" s="56"/>
      <c r="F52" s="110" t="s">
        <v>78</v>
      </c>
      <c r="G52" s="113">
        <v>1183</v>
      </c>
      <c r="H52" s="107">
        <v>12</v>
      </c>
      <c r="I52" s="119">
        <f t="shared" si="4"/>
        <v>1.0143702451394759E-2</v>
      </c>
      <c r="J52" s="119"/>
    </row>
    <row r="53" spans="1:10" ht="15" thickBot="1" x14ac:dyDescent="0.35">
      <c r="A53" s="101" t="s">
        <v>82</v>
      </c>
      <c r="B53" s="101">
        <v>840</v>
      </c>
      <c r="C53" s="56">
        <f t="shared" si="5"/>
        <v>440244</v>
      </c>
      <c r="D53" s="56"/>
    </row>
    <row r="54" spans="1:10" ht="15" thickBot="1" x14ac:dyDescent="0.35">
      <c r="A54" s="102" t="s">
        <v>83</v>
      </c>
      <c r="B54" s="103">
        <v>2280</v>
      </c>
      <c r="C54" s="67">
        <f t="shared" si="5"/>
        <v>1194948</v>
      </c>
      <c r="D54" s="68"/>
    </row>
  </sheetData>
  <autoFilter ref="P12:T21" xr:uid="{00000000-0001-0000-0000-000000000000}">
    <filterColumn colId="1" showButton="0"/>
    <filterColumn colId="3">
      <customFilters>
        <customFilter operator="greaterThan" val="5000"/>
      </customFilters>
    </filterColumn>
  </autoFilter>
  <mergeCells count="113">
    <mergeCell ref="I48:J48"/>
    <mergeCell ref="I49:J49"/>
    <mergeCell ref="I50:J50"/>
    <mergeCell ref="I51:J51"/>
    <mergeCell ref="I52:J52"/>
    <mergeCell ref="A37:A38"/>
    <mergeCell ref="B37:B38"/>
    <mergeCell ref="A35:D35"/>
    <mergeCell ref="I47:J47"/>
    <mergeCell ref="I46:J46"/>
    <mergeCell ref="H35:H37"/>
    <mergeCell ref="I35:J37"/>
    <mergeCell ref="G35:G37"/>
    <mergeCell ref="F35:F37"/>
    <mergeCell ref="I38:J38"/>
    <mergeCell ref="I39:J39"/>
    <mergeCell ref="I40:J40"/>
    <mergeCell ref="I41:J41"/>
    <mergeCell ref="I42:J42"/>
    <mergeCell ref="I43:J43"/>
    <mergeCell ref="I44:J44"/>
    <mergeCell ref="I45:J45"/>
    <mergeCell ref="T16:T17"/>
    <mergeCell ref="P18:P19"/>
    <mergeCell ref="Q18:R19"/>
    <mergeCell ref="S18:S19"/>
    <mergeCell ref="T18:T19"/>
    <mergeCell ref="Q20:R20"/>
    <mergeCell ref="Q21:R21"/>
    <mergeCell ref="C54:D54"/>
    <mergeCell ref="C48:D48"/>
    <mergeCell ref="C49:D49"/>
    <mergeCell ref="C50:D50"/>
    <mergeCell ref="C51:D51"/>
    <mergeCell ref="C52:D52"/>
    <mergeCell ref="C53:D53"/>
    <mergeCell ref="C42:D42"/>
    <mergeCell ref="C43:D43"/>
    <mergeCell ref="C44:D44"/>
    <mergeCell ref="C45:D45"/>
    <mergeCell ref="C46:D46"/>
    <mergeCell ref="C47:D47"/>
    <mergeCell ref="C37:D38"/>
    <mergeCell ref="C39:D39"/>
    <mergeCell ref="C40:D40"/>
    <mergeCell ref="C41:D41"/>
    <mergeCell ref="N16:N17"/>
    <mergeCell ref="N18:N19"/>
    <mergeCell ref="J11:N11"/>
    <mergeCell ref="K27:L27"/>
    <mergeCell ref="J28:L28"/>
    <mergeCell ref="J29:L29"/>
    <mergeCell ref="K15:L15"/>
    <mergeCell ref="M16:M17"/>
    <mergeCell ref="M18:M19"/>
    <mergeCell ref="K21:L21"/>
    <mergeCell ref="K22:L22"/>
    <mergeCell ref="K23:L23"/>
    <mergeCell ref="K24:L24"/>
    <mergeCell ref="K25:L25"/>
    <mergeCell ref="K26:L26"/>
    <mergeCell ref="J16:J17"/>
    <mergeCell ref="K16:L17"/>
    <mergeCell ref="K18:L19"/>
    <mergeCell ref="J18:J19"/>
    <mergeCell ref="K20:L20"/>
    <mergeCell ref="J12:J14"/>
    <mergeCell ref="J30:L30"/>
    <mergeCell ref="K12:L14"/>
    <mergeCell ref="M12:M14"/>
    <mergeCell ref="N12:N14"/>
    <mergeCell ref="H7:J7"/>
    <mergeCell ref="B2:C2"/>
    <mergeCell ref="G12:H13"/>
    <mergeCell ref="P11:T11"/>
    <mergeCell ref="P12:P14"/>
    <mergeCell ref="Q12:R14"/>
    <mergeCell ref="S12:S14"/>
    <mergeCell ref="T12:T14"/>
    <mergeCell ref="C16:D16"/>
    <mergeCell ref="G16:H16"/>
    <mergeCell ref="H8:J8"/>
    <mergeCell ref="H1:O1"/>
    <mergeCell ref="H2:J2"/>
    <mergeCell ref="A11:H11"/>
    <mergeCell ref="A12:A13"/>
    <mergeCell ref="B12:B13"/>
    <mergeCell ref="C12:D13"/>
    <mergeCell ref="E12:E13"/>
    <mergeCell ref="F12:F13"/>
    <mergeCell ref="A1:F1"/>
    <mergeCell ref="H3:J3"/>
    <mergeCell ref="H4:J4"/>
    <mergeCell ref="H5:J5"/>
    <mergeCell ref="H6:J6"/>
    <mergeCell ref="C14:D14"/>
    <mergeCell ref="G14:H14"/>
    <mergeCell ref="C15:D15"/>
    <mergeCell ref="G15:H15"/>
    <mergeCell ref="Q15:R15"/>
    <mergeCell ref="P16:P17"/>
    <mergeCell ref="Q16:R17"/>
    <mergeCell ref="S16:S17"/>
    <mergeCell ref="C20:D20"/>
    <mergeCell ref="G20:H20"/>
    <mergeCell ref="A21:E21"/>
    <mergeCell ref="G21:H21"/>
    <mergeCell ref="C17:D17"/>
    <mergeCell ref="G17:H17"/>
    <mergeCell ref="C18:D18"/>
    <mergeCell ref="G18:H18"/>
    <mergeCell ref="C19:D19"/>
    <mergeCell ref="G19:H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HP</cp:lastModifiedBy>
  <dcterms:created xsi:type="dcterms:W3CDTF">2024-12-13T10:55:23Z</dcterms:created>
  <dcterms:modified xsi:type="dcterms:W3CDTF">2024-12-13T16:26:32Z</dcterms:modified>
</cp:coreProperties>
</file>